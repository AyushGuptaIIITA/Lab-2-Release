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System Profile" sheetId="2" state="visible" r:id="rId4"/>
    <sheet name="Criteria&amp;Weights" sheetId="3" state="visible" r:id="rId5"/>
    <sheet name="Decision Matrix" sheetId="4" state="visible" r:id="rId6"/>
    <sheet name="Ranking" sheetId="5" state="visible" r:id="rId7"/>
    <sheet name="Sensitivity" sheetId="6" state="visible" r:id="rId8"/>
    <sheet name="Recommend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<sst xmlns="http://schemas.openxmlformats.org/spreadsheetml/2006/main" count="180" uniqueCount="134">
  <si>
    <t xml:space="preserve">LAB-2: SDLC MODEL SELECTION AS A MULTI-CRITERIA DECISION</t>
  </si>
  <si>
    <t xml:space="preserve">Course</t>
  </si>
  <si>
    <t xml:space="preserve">Advanced Software Engineering (M.Tech)</t>
  </si>
  <si>
    <t xml:space="preserve">Team</t>
  </si>
  <si>
    <t xml:space="preserve">T2</t>
  </si>
  <si>
    <t xml:space="preserve">Assigned System</t>
  </si>
  <si>
    <t xml:space="preserve">Rural Telemedicine Appointment &amp; e-Prescription Platform</t>
  </si>
  <si>
    <t xml:space="preserve">Key Challenges</t>
  </si>
  <si>
    <t xml:space="preserve">Low bandwidth, privacy, availability, usability</t>
  </si>
  <si>
    <t xml:space="preserve">Unit</t>
  </si>
  <si>
    <t xml:space="preserve">Unit 2</t>
  </si>
  <si>
    <t xml:space="preserve">CO Mapping</t>
  </si>
  <si>
    <t xml:space="preserve">CO1, CO3</t>
  </si>
  <si>
    <t xml:space="preserve">Bloom Level</t>
  </si>
  <si>
    <t xml:space="preserve">Analyze -&gt; Evaluate</t>
  </si>
  <si>
    <t xml:space="preserve">Sheet Guide</t>
  </si>
  <si>
    <t xml:space="preserve">- System Profile  - D1: Requirements/risk/regulatory profile of the system</t>
  </si>
  <si>
    <t xml:space="preserve">- Criteria&amp;Weights - D2/D3: 9 criteria with weights (must total 100)</t>
  </si>
  <si>
    <t xml:space="preserve">- Decision Matrix  - D4: 7-model scoring matrix with live weighted-score formulas</t>
  </si>
  <si>
    <t xml:space="preserve">- Ranking          - D5: Auto-ranked models from the Decision Matrix</t>
  </si>
  <si>
    <t xml:space="preserve">- Sensitivity       - D6: +/-5 point weight swaps, re-testing the winner</t>
  </si>
  <si>
    <t xml:space="preserve">D1 - SYSTEM PROFILE (Team T2: Rural Telemedicine Platform)</t>
  </si>
  <si>
    <t xml:space="preserve">Profile Dimension</t>
  </si>
  <si>
    <t xml:space="preserve">Assessment</t>
  </si>
  <si>
    <t xml:space="preserve">Justification</t>
  </si>
  <si>
    <t xml:space="preserve">Requirements volatility</t>
  </si>
  <si>
    <t xml:space="preserve">Medium</t>
  </si>
  <si>
    <t xml:space="preserve">Core telemedicine functions (video, scheduling) are stable, but rural adaptations (low-bandwidth handling, local dialects) may require iteration.</t>
  </si>
  <si>
    <t xml:space="preserve">Project size</t>
  </si>
  <si>
    <t xml:space="preserve">The platform focuses on targeted modules: appointments, e-prescriptions, and basic user management.</t>
  </si>
  <si>
    <t xml:space="preserve">Team distribution</t>
  </si>
  <si>
    <t xml:space="preserve">Low</t>
  </si>
  <si>
    <t xml:space="preserve">Assuming a standard, co-located university development team for this project.</t>
  </si>
  <si>
    <t xml:space="preserve">Risk exposure</t>
  </si>
  <si>
    <t xml:space="preserve">High</t>
  </si>
  <si>
    <t xml:space="preserve">Incorrect e-prescriptions or dropped connections during critical consultations pose severe health risks.</t>
  </si>
  <si>
    <t xml:space="preserve">Regulatory burden</t>
  </si>
  <si>
    <t xml:space="preserve">Medical data, patient privacy, and e-prescription legality require strict compliance with health data laws.</t>
  </si>
  <si>
    <t xml:space="preserve">Customer availability</t>
  </si>
  <si>
    <t xml:space="preserve">Rural patients and busy healthcare providers have limited availability for continuous feedback.</t>
  </si>
  <si>
    <t xml:space="preserve">Contract type</t>
  </si>
  <si>
    <t xml:space="preserve">Flexible</t>
  </si>
  <si>
    <t xml:space="preserve">Internal academic project context allows for adaptable scope.</t>
  </si>
  <si>
    <t xml:space="preserve">Delivery urgency</t>
  </si>
  <si>
    <t xml:space="preserve">Improving rural healthcare access is a critical, time-sensitive need.</t>
  </si>
  <si>
    <t xml:space="preserve">Defect tolerance</t>
  </si>
  <si>
    <t xml:space="preserve">Very Low</t>
  </si>
  <si>
    <t xml:space="preserve">Software bugs in e-prescriptions or appointment routing can lead to medical emergencies.</t>
  </si>
  <si>
    <t xml:space="preserve">Technology uncertainty</t>
  </si>
  <si>
    <t xml:space="preserve">Telemedicine APIs and e-prescription standards are established, but reliable performance over unstable, low-bandwidth rural networks introduces moderate technical uncertainty.</t>
  </si>
  <si>
    <t xml:space="preserve">Security/privacy requirement</t>
  </si>
  <si>
    <t xml:space="preserve">Extremely High</t>
  </si>
  <si>
    <t xml:space="preserve">The system handles sensitive PHI and legally binding e-prescriptions, requiring end-to-end encryption, strict access control, and compliance with data-protection regulations (e.g. HIPAA or local equivalents).</t>
  </si>
  <si>
    <t xml:space="preserve">Integration complexity</t>
  </si>
  <si>
    <t xml:space="preserve">Must integrate with external pharmacy databases, secure payment gateways, and potentially existing regional EHR systems.</t>
  </si>
  <si>
    <t xml:space="preserve">D2/D3 - DECISION CRITERIA AND WEIGHTS (Sum must equal 100)</t>
  </si>
  <si>
    <t xml:space="preserve">Code</t>
  </si>
  <si>
    <t xml:space="preserve">Criterion</t>
  </si>
  <si>
    <t xml:space="preserve">Weight (%)</t>
  </si>
  <si>
    <t xml:space="preserve">C1</t>
  </si>
  <si>
    <t xml:space="preserve">Rural network constraints may force adjustments, but core telehealth needs are well-defined.</t>
  </si>
  <si>
    <t xml:space="preserve">C2</t>
  </si>
  <si>
    <t xml:space="preserve">It is a moderately sized platform; scale is not the primary driver.</t>
  </si>
  <si>
    <t xml:space="preserve">C3</t>
  </si>
  <si>
    <t xml:space="preserve">The team is likely co-located, reducing coordination risks.</t>
  </si>
  <si>
    <t xml:space="preserve">C4</t>
  </si>
  <si>
    <t xml:space="preserve">High risk of medical errors from usability issues or dropped connections.</t>
  </si>
  <si>
    <t xml:space="preserve">C5</t>
  </si>
  <si>
    <t xml:space="preserve">Must adhere strictly to medical privacy laws for patient data.</t>
  </si>
  <si>
    <t xml:space="preserve">C6</t>
  </si>
  <si>
    <t xml:space="preserve">Rural users and doctors are hard to reach for constant daily feedback.</t>
  </si>
  <si>
    <t xml:space="preserve">C7</t>
  </si>
  <si>
    <t xml:space="preserve">A flexible academic environment reduces contractual pressure.</t>
  </si>
  <si>
    <t xml:space="preserve">C8</t>
  </si>
  <si>
    <t xml:space="preserve">High need for the solution in underserved areas.</t>
  </si>
  <si>
    <t xml:space="preserve">C9</t>
  </si>
  <si>
    <t xml:space="preserve">Zero tolerance for prescribing errors or lost medical records.</t>
  </si>
  <si>
    <t xml:space="preserve">TOTAL</t>
  </si>
  <si>
    <t xml:space="preserve">D4 - SEVEN-MODEL WEIGHTED DECISION MATRIX (Score 1=Very poor .. 5=Excellent)</t>
  </si>
  <si>
    <t xml:space="preserve">Weight %</t>
  </si>
  <si>
    <t xml:space="preserve">Waterfall</t>
  </si>
  <si>
    <t xml:space="preserve">Incremental</t>
  </si>
  <si>
    <t xml:space="preserve">Prototyping</t>
  </si>
  <si>
    <t xml:space="preserve">Spiral</t>
  </si>
  <si>
    <t xml:space="preserve">V-Model</t>
  </si>
  <si>
    <t xml:space="preserve">Component-Based</t>
  </si>
  <si>
    <t xml:space="preserve">Scrum</t>
  </si>
  <si>
    <t xml:space="preserve">Weighted Total (Sum[Weight x Score])</t>
  </si>
  <si>
    <t xml:space="preserve">% of Maximum Possible Score (Total/500)</t>
  </si>
  <si>
    <t xml:space="preserve">D5 - FINAL RANKING AND RECOMMENDATION</t>
  </si>
  <si>
    <t xml:space="preserve">Rank</t>
  </si>
  <si>
    <t xml:space="preserve">SDLC Model</t>
  </si>
  <si>
    <t xml:space="preserve">Weighted Score (%)</t>
  </si>
  <si>
    <t xml:space="preserve">Reason</t>
  </si>
  <si>
    <t xml:space="preserve">Too rigid for adapting to low bandwidth challenges and continuous usability testing.</t>
  </si>
  <si>
    <t xml:space="preserve">Good balance of early delivery and adaptability, but lacks the heavy risk analysis needed for e-prescriptions.</t>
  </si>
  <si>
    <t xml:space="preserve">Highly dangerous for medical data due to poor defect tolerance and lack of rigorous regulatory focus.</t>
  </si>
  <si>
    <t xml:space="preserve">Best handles the high risk exposure and strict defect tolerance required for medical systems.</t>
  </si>
  <si>
    <t xml:space="preserve">Excellent for regulatory compliance and defect tracking, but weaker on handling rural connectivity adaptations.</t>
  </si>
  <si>
    <t xml:space="preserve">Moderate fit; depends heavily on whether secure, pre-built telehealth components are readily available.</t>
  </si>
  <si>
    <t xml:space="preserve">Poor fit due to low customer availability (rural users can't do daily standups) and high regulatory needs.</t>
  </si>
  <si>
    <t xml:space="preserve">Winner vs Runner-up:</t>
  </si>
  <si>
    <t xml:space="preserve">Spiral outperformed the runner-up (V-Model) mainly due to Risk Exposure (C4) and Customer Availability (C6): (1) Spiral's explicit risk-analysis phases let the team prototype and resolve rural connectivity risks before locking in architecture; (2) Spiral tolerates sparse customer feedback via small evaluation spikes at the end of each cycle, whereas V-Model assumes stable, up-front requirements.</t>
  </si>
  <si>
    <t xml:space="preserve">D6 - SENSITIVITY ANALYSIS (each swap keeps total weight = 100)</t>
  </si>
  <si>
    <t xml:space="preserve">Changed Criterion</t>
  </si>
  <si>
    <t xml:space="preserve">Original Wt.</t>
  </si>
  <si>
    <t xml:space="preserve">New Wt.</t>
  </si>
  <si>
    <t xml:space="preserve">Adjusted Criterion</t>
  </si>
  <si>
    <t xml:space="preserve">Adj. New Wt.</t>
  </si>
  <si>
    <t xml:space="preserve">Original Winner (Score)</t>
  </si>
  <si>
    <t xml:space="preserve">New Winner (Score) / Changed?</t>
  </si>
  <si>
    <t xml:space="preserve">Defect Tolerance</t>
  </si>
  <si>
    <t xml:space="preserve">Delivery Urgency / C8</t>
  </si>
  <si>
    <t xml:space="preserve">Spiral (420)</t>
  </si>
  <si>
    <t xml:space="preserve">Spiral (410) - No change</t>
  </si>
  <si>
    <t xml:space="preserve">Risk Exposure</t>
  </si>
  <si>
    <t xml:space="preserve">Requirements Volatility / C1</t>
  </si>
  <si>
    <t xml:space="preserve">Spiral (415) - No change</t>
  </si>
  <si>
    <t xml:space="preserve">Regulatory Burden</t>
  </si>
  <si>
    <t xml:space="preserve">Customer Availability / C6</t>
  </si>
  <si>
    <t xml:space="preserve">Spiral (420) - No change</t>
  </si>
  <si>
    <t xml:space="preserve">Conclusion: Spiral's lead is robust. Even after individually shifting each of the three most influential weights (Defect Tolerance, Risk Exposure, Regulatory Burden) by 5 points toward the next most relevant criterion, Spiral remains the top-ranked model, though the margin over V-Model narrows most when Regulatory Burden is reduced.</t>
  </si>
  <si>
    <t xml:space="preserve">D7/D8 - ENGINEERING RECOMMENDATION &amp; ORAL DEFENCE SCRIPT</t>
  </si>
  <si>
    <t xml:space="preserve">Recommended Model</t>
  </si>
  <si>
    <t xml:space="preserve">System characteristics (20s)</t>
  </si>
  <si>
    <t xml:space="preserve">The T2 system is a rural telemedicine platform requiring e-prescriptions. The dominant constraints are severe risk exposure regarding patient health, strict regulatory compliance for medical data, low defect tolerance, and operation under low-bandwidth conditions.</t>
  </si>
  <si>
    <t xml:space="preserve">Selected model &amp; rationale (20s)</t>
  </si>
  <si>
    <t xml:space="preserve">We selected the Spiral model. Its emphasis on continuous risk analysis makes it ideal for mitigating the dangers of medical data loss and prescription errors over poor networks, while still allowing for iterative usability testing with rural users.</t>
  </si>
  <si>
    <t xml:space="preserve">Most influential criteria (10s)</t>
  </si>
  <si>
    <t xml:space="preserve">Risk Exposure (C4) and Defect Tolerance (C9).</t>
  </si>
  <si>
    <t xml:space="preserve">Sensitivity result (10s)</t>
  </si>
  <si>
    <t xml:space="preserve">Decreasing the weight of Defect Tolerance while increasing Delivery Urgency narrowed the gap slightly, but Spiral remained the clear winner across all three tested swaps.</t>
  </si>
  <si>
    <t xml:space="preserve">Required conclusion</t>
  </si>
  <si>
    <t xml:space="preserve">We recommend the Spiral Model because it aggressively mitigates the severe medical and privacy risks inherent in an e-prescription platform operating over unreliable rural networks. However, if requirements become completely stable and regulatory bodies mandate strict sequential verification prior to code execution, the V-Model may become more appropriate.</t>
  </si>
</sst>
</file>

<file path=xl/styles.xml><?xml version="1.0" encoding="utf-8"?>
<styleSheet xmlns="http://schemas.openxmlformats.org/spreadsheetml/2006/main">
  <numFmts count="4">
    <numFmt numFmtId="164" formatCode="General"/>
    <numFmt numFmtId="165" formatCode="0"/>
    <numFmt numFmtId="166" formatCode="0%"/>
    <numFmt numFmtId="167"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1"/>
      <name val="Arial"/>
      <family val="0"/>
      <charset val="1"/>
    </font>
    <font>
      <sz val="11"/>
      <name val="Arial"/>
      <family val="0"/>
      <charset val="1"/>
    </font>
    <font>
      <b val="true"/>
      <sz val="11"/>
      <color rgb="FFFFFFFF"/>
      <name val="Arial"/>
      <family val="0"/>
      <charset val="1"/>
    </font>
    <font>
      <b val="true"/>
      <sz val="11"/>
      <color rgb="FF0000FF"/>
      <name val="Arial"/>
      <family val="0"/>
      <charset val="1"/>
    </font>
    <font>
      <sz val="11"/>
      <color rgb="FF0000FF"/>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D9E1F2"/>
        <bgColor rgb="FFC6EFCE"/>
      </patternFill>
    </fill>
    <fill>
      <patternFill patternType="solid">
        <fgColor rgb="FFC6EFCE"/>
        <bgColor rgb="FFD9E1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5" fontId="5" fillId="3" borderId="1" xfId="0" applyFont="true" applyBorder="true" applyAlignment="true" applyProtection="false">
      <alignment horizontal="center" vertical="center" textRotation="0" wrapText="tru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6" fontId="5" fillId="3" borderId="1" xfId="0" applyFont="true" applyBorder="true" applyAlignment="true" applyProtection="false">
      <alignment horizontal="center" vertical="center" textRotation="0" wrapText="true" indent="0" shrinkToFit="false"/>
      <protection locked="true" hidden="false"/>
    </xf>
    <xf numFmtId="166" fontId="6" fillId="0" borderId="1" xfId="0" applyFont="true" applyBorder="true" applyAlignment="true" applyProtection="false">
      <alignment horizontal="center" vertical="center" textRotation="0" wrapText="false" indent="0" shrinkToFit="false"/>
      <protection locked="true" hidden="false"/>
    </xf>
    <xf numFmtId="167" fontId="6" fillId="4" borderId="1" xfId="0" applyFont="true" applyBorder="true" applyAlignment="true" applyProtection="false">
      <alignment horizontal="center" vertical="center" textRotation="0" wrapText="false" indent="0" shrinkToFit="false"/>
      <protection locked="true" hidden="false"/>
    </xf>
    <xf numFmtId="164" fontId="5" fillId="4" borderId="1" xfId="0" applyFont="true" applyBorder="true" applyAlignment="true" applyProtection="false">
      <alignment horizontal="left" vertical="center" textRotation="0" wrapText="false" indent="0" shrinkToFit="false"/>
      <protection locked="true" hidden="false"/>
    </xf>
    <xf numFmtId="166" fontId="6" fillId="4"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4" min="2" style="0" width="26"/>
  </cols>
  <sheetData>
    <row r="1" customFormat="false" ht="27.75" hidden="false" customHeight="true" outlineLevel="0" collapsed="false">
      <c r="A1" s="1" t="s">
        <v>0</v>
      </c>
      <c r="B1" s="1"/>
      <c r="C1" s="1"/>
      <c r="D1" s="1"/>
    </row>
    <row r="3" customFormat="false" ht="15" hidden="false" customHeight="true" outlineLevel="0" collapsed="false">
      <c r="A3" s="2" t="s">
        <v>1</v>
      </c>
      <c r="B3" s="3" t="s">
        <v>2</v>
      </c>
      <c r="C3" s="3"/>
      <c r="D3" s="3"/>
    </row>
    <row r="4" customFormat="false" ht="15" hidden="false" customHeight="true" outlineLevel="0" collapsed="false">
      <c r="A4" s="2" t="s">
        <v>3</v>
      </c>
      <c r="B4" s="3" t="s">
        <v>4</v>
      </c>
      <c r="C4" s="3"/>
      <c r="D4" s="3"/>
    </row>
    <row r="5" customFormat="false" ht="15" hidden="false" customHeight="true" outlineLevel="0" collapsed="false">
      <c r="A5" s="2" t="s">
        <v>5</v>
      </c>
      <c r="B5" s="3" t="s">
        <v>6</v>
      </c>
      <c r="C5" s="3"/>
      <c r="D5" s="3"/>
    </row>
    <row r="6" customFormat="false" ht="15" hidden="false" customHeight="true" outlineLevel="0" collapsed="false">
      <c r="A6" s="2" t="s">
        <v>7</v>
      </c>
      <c r="B6" s="3" t="s">
        <v>8</v>
      </c>
      <c r="C6" s="3"/>
      <c r="D6" s="3"/>
    </row>
    <row r="7" customFormat="false" ht="15" hidden="false" customHeight="true" outlineLevel="0" collapsed="false">
      <c r="A7" s="2" t="s">
        <v>9</v>
      </c>
      <c r="B7" s="3" t="s">
        <v>10</v>
      </c>
      <c r="C7" s="3"/>
      <c r="D7" s="3"/>
    </row>
    <row r="8" customFormat="false" ht="15" hidden="false" customHeight="true" outlineLevel="0" collapsed="false">
      <c r="A8" s="2" t="s">
        <v>11</v>
      </c>
      <c r="B8" s="3" t="s">
        <v>12</v>
      </c>
      <c r="C8" s="3"/>
      <c r="D8" s="3"/>
    </row>
    <row r="9" customFormat="false" ht="15" hidden="false" customHeight="true" outlineLevel="0" collapsed="false">
      <c r="A9" s="2" t="s">
        <v>13</v>
      </c>
      <c r="B9" s="3" t="s">
        <v>14</v>
      </c>
      <c r="C9" s="3"/>
      <c r="D9" s="3"/>
    </row>
    <row r="11" customFormat="false" ht="15" hidden="false" customHeight="true" outlineLevel="0" collapsed="false">
      <c r="A11" s="2" t="s">
        <v>15</v>
      </c>
      <c r="B11" s="2"/>
      <c r="C11" s="2"/>
      <c r="D11" s="2"/>
    </row>
    <row r="12" customFormat="false" ht="15.75" hidden="false" customHeight="true" outlineLevel="0" collapsed="false">
      <c r="A12" s="4" t="s">
        <v>16</v>
      </c>
      <c r="B12" s="4"/>
      <c r="C12" s="4"/>
      <c r="D12" s="4"/>
    </row>
    <row r="13" customFormat="false" ht="15.75" hidden="false" customHeight="true" outlineLevel="0" collapsed="false">
      <c r="A13" s="4" t="s">
        <v>17</v>
      </c>
      <c r="B13" s="4"/>
      <c r="C13" s="4"/>
      <c r="D13" s="4"/>
    </row>
    <row r="14" customFormat="false" ht="15.75" hidden="false" customHeight="true" outlineLevel="0" collapsed="false">
      <c r="A14" s="4" t="s">
        <v>18</v>
      </c>
      <c r="B14" s="4"/>
      <c r="C14" s="4"/>
      <c r="D14" s="4"/>
    </row>
    <row r="15" customFormat="false" ht="15.75" hidden="false" customHeight="true" outlineLevel="0" collapsed="false">
      <c r="A15" s="4" t="s">
        <v>19</v>
      </c>
      <c r="B15" s="4"/>
      <c r="C15" s="4"/>
      <c r="D15" s="4"/>
    </row>
    <row r="16" customFormat="false" ht="15.75" hidden="false" customHeight="true" outlineLevel="0" collapsed="false">
      <c r="A16" s="4" t="s">
        <v>20</v>
      </c>
      <c r="B16" s="4"/>
      <c r="C16" s="4"/>
      <c r="D16" s="4"/>
    </row>
  </sheetData>
  <mergeCells count="14">
    <mergeCell ref="A1:D1"/>
    <mergeCell ref="B3:D3"/>
    <mergeCell ref="B4:D4"/>
    <mergeCell ref="B5:D5"/>
    <mergeCell ref="B6:D6"/>
    <mergeCell ref="B7:D7"/>
    <mergeCell ref="B8:D8"/>
    <mergeCell ref="B9:D9"/>
    <mergeCell ref="A11:D11"/>
    <mergeCell ref="A12:D12"/>
    <mergeCell ref="A13:D13"/>
    <mergeCell ref="A14:D14"/>
    <mergeCell ref="A15:D15"/>
    <mergeCell ref="A16:D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6"/>
    <col collapsed="false" customWidth="true" hidden="false" outlineLevel="0" max="3" min="3" style="0" width="80"/>
  </cols>
  <sheetData>
    <row r="1" customFormat="false" ht="27.75" hidden="false" customHeight="true" outlineLevel="0" collapsed="false">
      <c r="A1" s="1" t="s">
        <v>21</v>
      </c>
      <c r="B1" s="1"/>
      <c r="C1" s="1"/>
    </row>
    <row r="2" customFormat="false" ht="15" hidden="false" customHeight="false" outlineLevel="0" collapsed="false">
      <c r="A2" s="5" t="s">
        <v>22</v>
      </c>
      <c r="B2" s="5" t="s">
        <v>23</v>
      </c>
      <c r="C2" s="5" t="s">
        <v>24</v>
      </c>
    </row>
    <row r="3" customFormat="false" ht="39.75" hidden="false" customHeight="true" outlineLevel="0" collapsed="false">
      <c r="A3" s="6" t="s">
        <v>25</v>
      </c>
      <c r="B3" s="7" t="s">
        <v>26</v>
      </c>
      <c r="C3" s="3" t="s">
        <v>27</v>
      </c>
    </row>
    <row r="4" customFormat="false" ht="39.75" hidden="false" customHeight="true" outlineLevel="0" collapsed="false">
      <c r="A4" s="6" t="s">
        <v>28</v>
      </c>
      <c r="B4" s="7" t="s">
        <v>26</v>
      </c>
      <c r="C4" s="3" t="s">
        <v>29</v>
      </c>
    </row>
    <row r="5" customFormat="false" ht="39.75" hidden="false" customHeight="true" outlineLevel="0" collapsed="false">
      <c r="A5" s="6" t="s">
        <v>30</v>
      </c>
      <c r="B5" s="7" t="s">
        <v>31</v>
      </c>
      <c r="C5" s="3" t="s">
        <v>32</v>
      </c>
    </row>
    <row r="6" customFormat="false" ht="39.75" hidden="false" customHeight="true" outlineLevel="0" collapsed="false">
      <c r="A6" s="6" t="s">
        <v>33</v>
      </c>
      <c r="B6" s="7" t="s">
        <v>34</v>
      </c>
      <c r="C6" s="3" t="s">
        <v>35</v>
      </c>
    </row>
    <row r="7" customFormat="false" ht="39.75" hidden="false" customHeight="true" outlineLevel="0" collapsed="false">
      <c r="A7" s="6" t="s">
        <v>36</v>
      </c>
      <c r="B7" s="7" t="s">
        <v>34</v>
      </c>
      <c r="C7" s="3" t="s">
        <v>37</v>
      </c>
    </row>
    <row r="8" customFormat="false" ht="39.75" hidden="false" customHeight="true" outlineLevel="0" collapsed="false">
      <c r="A8" s="6" t="s">
        <v>38</v>
      </c>
      <c r="B8" s="7" t="s">
        <v>31</v>
      </c>
      <c r="C8" s="3" t="s">
        <v>39</v>
      </c>
    </row>
    <row r="9" customFormat="false" ht="39.75" hidden="false" customHeight="true" outlineLevel="0" collapsed="false">
      <c r="A9" s="6" t="s">
        <v>40</v>
      </c>
      <c r="B9" s="7" t="s">
        <v>41</v>
      </c>
      <c r="C9" s="3" t="s">
        <v>42</v>
      </c>
    </row>
    <row r="10" customFormat="false" ht="39.75" hidden="false" customHeight="true" outlineLevel="0" collapsed="false">
      <c r="A10" s="6" t="s">
        <v>43</v>
      </c>
      <c r="B10" s="7" t="s">
        <v>34</v>
      </c>
      <c r="C10" s="3" t="s">
        <v>44</v>
      </c>
    </row>
    <row r="11" customFormat="false" ht="39.75" hidden="false" customHeight="true" outlineLevel="0" collapsed="false">
      <c r="A11" s="6" t="s">
        <v>45</v>
      </c>
      <c r="B11" s="7" t="s">
        <v>46</v>
      </c>
      <c r="C11" s="3" t="s">
        <v>47</v>
      </c>
    </row>
    <row r="12" customFormat="false" ht="39.75" hidden="false" customHeight="true" outlineLevel="0" collapsed="false">
      <c r="A12" s="6" t="s">
        <v>48</v>
      </c>
      <c r="B12" s="7" t="s">
        <v>26</v>
      </c>
      <c r="C12" s="3" t="s">
        <v>49</v>
      </c>
    </row>
    <row r="13" customFormat="false" ht="39.75" hidden="false" customHeight="true" outlineLevel="0" collapsed="false">
      <c r="A13" s="6" t="s">
        <v>50</v>
      </c>
      <c r="B13" s="7" t="s">
        <v>51</v>
      </c>
      <c r="C13" s="3" t="s">
        <v>52</v>
      </c>
    </row>
    <row r="14" customFormat="false" ht="39.75" hidden="false" customHeight="true" outlineLevel="0" collapsed="false">
      <c r="A14" s="6" t="s">
        <v>53</v>
      </c>
      <c r="B14" s="7" t="s">
        <v>34</v>
      </c>
      <c r="C14" s="3" t="s">
        <v>54</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12"/>
    <col collapsed="false" customWidth="true" hidden="false" outlineLevel="0" max="4" min="4" style="0" width="70"/>
  </cols>
  <sheetData>
    <row r="1" customFormat="false" ht="27.75" hidden="false" customHeight="true" outlineLevel="0" collapsed="false">
      <c r="A1" s="1" t="s">
        <v>55</v>
      </c>
      <c r="B1" s="1"/>
      <c r="C1" s="1"/>
      <c r="D1" s="1"/>
    </row>
    <row r="2" customFormat="false" ht="15" hidden="false" customHeight="false" outlineLevel="0" collapsed="false">
      <c r="A2" s="5" t="s">
        <v>56</v>
      </c>
      <c r="B2" s="5" t="s">
        <v>57</v>
      </c>
      <c r="C2" s="5" t="s">
        <v>58</v>
      </c>
      <c r="D2" s="5" t="s">
        <v>24</v>
      </c>
    </row>
    <row r="3" customFormat="false" ht="31.5" hidden="false" customHeight="true" outlineLevel="0" collapsed="false">
      <c r="A3" s="8" t="s">
        <v>59</v>
      </c>
      <c r="B3" s="4" t="s">
        <v>25</v>
      </c>
      <c r="C3" s="9" t="n">
        <v>10</v>
      </c>
      <c r="D3" s="3" t="s">
        <v>60</v>
      </c>
    </row>
    <row r="4" customFormat="false" ht="31.5" hidden="false" customHeight="true" outlineLevel="0" collapsed="false">
      <c r="A4" s="8" t="s">
        <v>61</v>
      </c>
      <c r="B4" s="4" t="s">
        <v>28</v>
      </c>
      <c r="C4" s="9" t="n">
        <v>5</v>
      </c>
      <c r="D4" s="3" t="s">
        <v>62</v>
      </c>
    </row>
    <row r="5" customFormat="false" ht="31.5" hidden="false" customHeight="true" outlineLevel="0" collapsed="false">
      <c r="A5" s="8" t="s">
        <v>63</v>
      </c>
      <c r="B5" s="4" t="s">
        <v>30</v>
      </c>
      <c r="C5" s="9" t="n">
        <v>5</v>
      </c>
      <c r="D5" s="3" t="s">
        <v>64</v>
      </c>
    </row>
    <row r="6" customFormat="false" ht="31.5" hidden="false" customHeight="true" outlineLevel="0" collapsed="false">
      <c r="A6" s="8" t="s">
        <v>65</v>
      </c>
      <c r="B6" s="4" t="s">
        <v>33</v>
      </c>
      <c r="C6" s="9" t="n">
        <v>20</v>
      </c>
      <c r="D6" s="3" t="s">
        <v>66</v>
      </c>
    </row>
    <row r="7" customFormat="false" ht="31.5" hidden="false" customHeight="true" outlineLevel="0" collapsed="false">
      <c r="A7" s="8" t="s">
        <v>67</v>
      </c>
      <c r="B7" s="4" t="s">
        <v>36</v>
      </c>
      <c r="C7" s="9" t="n">
        <v>15</v>
      </c>
      <c r="D7" s="3" t="s">
        <v>68</v>
      </c>
    </row>
    <row r="8" customFormat="false" ht="31.5" hidden="false" customHeight="true" outlineLevel="0" collapsed="false">
      <c r="A8" s="8" t="s">
        <v>69</v>
      </c>
      <c r="B8" s="4" t="s">
        <v>38</v>
      </c>
      <c r="C8" s="9" t="n">
        <v>10</v>
      </c>
      <c r="D8" s="3" t="s">
        <v>70</v>
      </c>
    </row>
    <row r="9" customFormat="false" ht="31.5" hidden="false" customHeight="true" outlineLevel="0" collapsed="false">
      <c r="A9" s="8" t="s">
        <v>71</v>
      </c>
      <c r="B9" s="4" t="s">
        <v>40</v>
      </c>
      <c r="C9" s="9" t="n">
        <v>5</v>
      </c>
      <c r="D9" s="3" t="s">
        <v>72</v>
      </c>
    </row>
    <row r="10" customFormat="false" ht="31.5" hidden="false" customHeight="true" outlineLevel="0" collapsed="false">
      <c r="A10" s="8" t="s">
        <v>73</v>
      </c>
      <c r="B10" s="4" t="s">
        <v>43</v>
      </c>
      <c r="C10" s="9" t="n">
        <v>10</v>
      </c>
      <c r="D10" s="3" t="s">
        <v>74</v>
      </c>
    </row>
    <row r="11" customFormat="false" ht="31.5" hidden="false" customHeight="true" outlineLevel="0" collapsed="false">
      <c r="A11" s="8" t="s">
        <v>75</v>
      </c>
      <c r="B11" s="4" t="s">
        <v>45</v>
      </c>
      <c r="C11" s="9" t="n">
        <v>20</v>
      </c>
      <c r="D11" s="3" t="s">
        <v>76</v>
      </c>
    </row>
    <row r="12" customFormat="false" ht="15" hidden="false" customHeight="false" outlineLevel="0" collapsed="false">
      <c r="A12" s="2"/>
      <c r="B12" s="2" t="s">
        <v>77</v>
      </c>
      <c r="C12" s="10" t="n">
        <f aca="false">SUM(C3:C11)</f>
        <v>100</v>
      </c>
      <c r="D12" s="2" t="str">
        <f aca="false">IF(C12=100,"OK - weights sum to 100","CHECK WEIGHTS!")</f>
        <v>OK - weights sum to 100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3" min="3" style="0" width="10"/>
    <col collapsed="false" customWidth="true" hidden="false" outlineLevel="0" max="10" min="4" style="0" width="15"/>
  </cols>
  <sheetData>
    <row r="1" customFormat="false" ht="27.75" hidden="false" customHeight="true" outlineLevel="0" collapsed="false">
      <c r="A1" s="1" t="s">
        <v>78</v>
      </c>
      <c r="B1" s="1"/>
      <c r="C1" s="1"/>
      <c r="D1" s="1"/>
      <c r="E1" s="1"/>
      <c r="F1" s="1"/>
      <c r="G1" s="1"/>
      <c r="H1" s="1"/>
      <c r="I1" s="1"/>
      <c r="J1" s="1"/>
    </row>
    <row r="2" customFormat="false" ht="26.85" hidden="false" customHeight="false" outlineLevel="0" collapsed="false">
      <c r="A2" s="5" t="s">
        <v>56</v>
      </c>
      <c r="B2" s="5" t="s">
        <v>57</v>
      </c>
      <c r="C2" s="5" t="s">
        <v>79</v>
      </c>
      <c r="D2" s="5" t="s">
        <v>80</v>
      </c>
      <c r="E2" s="5" t="s">
        <v>81</v>
      </c>
      <c r="F2" s="5" t="s">
        <v>82</v>
      </c>
      <c r="G2" s="5" t="s">
        <v>83</v>
      </c>
      <c r="H2" s="5" t="s">
        <v>84</v>
      </c>
      <c r="I2" s="5" t="s">
        <v>85</v>
      </c>
      <c r="J2" s="5" t="s">
        <v>86</v>
      </c>
    </row>
    <row r="3" customFormat="false" ht="30" hidden="false" customHeight="true" outlineLevel="0" collapsed="false">
      <c r="A3" s="8" t="s">
        <v>59</v>
      </c>
      <c r="B3" s="4" t="s">
        <v>25</v>
      </c>
      <c r="C3" s="11" t="n">
        <f aca="false">'Criteria&amp;Weights'!C3</f>
        <v>10</v>
      </c>
      <c r="D3" s="12" t="n">
        <v>1</v>
      </c>
      <c r="E3" s="12" t="n">
        <v>4</v>
      </c>
      <c r="F3" s="12" t="n">
        <v>5</v>
      </c>
      <c r="G3" s="12" t="n">
        <v>4</v>
      </c>
      <c r="H3" s="12" t="n">
        <v>2</v>
      </c>
      <c r="I3" s="12" t="n">
        <v>3</v>
      </c>
      <c r="J3" s="12" t="n">
        <v>5</v>
      </c>
    </row>
    <row r="4" customFormat="false" ht="30" hidden="false" customHeight="true" outlineLevel="0" collapsed="false">
      <c r="A4" s="8" t="s">
        <v>61</v>
      </c>
      <c r="B4" s="4" t="s">
        <v>28</v>
      </c>
      <c r="C4" s="11" t="n">
        <f aca="false">'Criteria&amp;Weights'!C4</f>
        <v>5</v>
      </c>
      <c r="D4" s="12" t="n">
        <v>3</v>
      </c>
      <c r="E4" s="12" t="n">
        <v>3</v>
      </c>
      <c r="F4" s="12" t="n">
        <v>2</v>
      </c>
      <c r="G4" s="12" t="n">
        <v>4</v>
      </c>
      <c r="H4" s="12" t="n">
        <v>4</v>
      </c>
      <c r="I4" s="12" t="n">
        <v>4</v>
      </c>
      <c r="J4" s="12" t="n">
        <v>3</v>
      </c>
    </row>
    <row r="5" customFormat="false" ht="30" hidden="false" customHeight="true" outlineLevel="0" collapsed="false">
      <c r="A5" s="8" t="s">
        <v>63</v>
      </c>
      <c r="B5" s="4" t="s">
        <v>30</v>
      </c>
      <c r="C5" s="11" t="n">
        <f aca="false">'Criteria&amp;Weights'!C5</f>
        <v>5</v>
      </c>
      <c r="D5" s="12" t="n">
        <v>4</v>
      </c>
      <c r="E5" s="12" t="n">
        <v>3</v>
      </c>
      <c r="F5" s="12" t="n">
        <v>3</v>
      </c>
      <c r="G5" s="12" t="n">
        <v>3</v>
      </c>
      <c r="H5" s="12" t="n">
        <v>3</v>
      </c>
      <c r="I5" s="12" t="n">
        <v>3</v>
      </c>
      <c r="J5" s="12" t="n">
        <v>2</v>
      </c>
    </row>
    <row r="6" customFormat="false" ht="30" hidden="false" customHeight="true" outlineLevel="0" collapsed="false">
      <c r="A6" s="8" t="s">
        <v>65</v>
      </c>
      <c r="B6" s="4" t="s">
        <v>33</v>
      </c>
      <c r="C6" s="11" t="n">
        <f aca="false">'Criteria&amp;Weights'!C6</f>
        <v>20</v>
      </c>
      <c r="D6" s="12" t="n">
        <v>2</v>
      </c>
      <c r="E6" s="12" t="n">
        <v>3</v>
      </c>
      <c r="F6" s="12" t="n">
        <v>2</v>
      </c>
      <c r="G6" s="12" t="n">
        <v>5</v>
      </c>
      <c r="H6" s="12" t="n">
        <v>4</v>
      </c>
      <c r="I6" s="12" t="n">
        <v>2</v>
      </c>
      <c r="J6" s="12" t="n">
        <v>3</v>
      </c>
    </row>
    <row r="7" customFormat="false" ht="30" hidden="false" customHeight="true" outlineLevel="0" collapsed="false">
      <c r="A7" s="8" t="s">
        <v>67</v>
      </c>
      <c r="B7" s="4" t="s">
        <v>36</v>
      </c>
      <c r="C7" s="11" t="n">
        <f aca="false">'Criteria&amp;Weights'!C7</f>
        <v>15</v>
      </c>
      <c r="D7" s="12" t="n">
        <v>4</v>
      </c>
      <c r="E7" s="12" t="n">
        <v>3</v>
      </c>
      <c r="F7" s="12" t="n">
        <v>1</v>
      </c>
      <c r="G7" s="12" t="n">
        <v>4</v>
      </c>
      <c r="H7" s="12" t="n">
        <v>5</v>
      </c>
      <c r="I7" s="12" t="n">
        <v>3</v>
      </c>
      <c r="J7" s="12" t="n">
        <v>2</v>
      </c>
    </row>
    <row r="8" customFormat="false" ht="30" hidden="false" customHeight="true" outlineLevel="0" collapsed="false">
      <c r="A8" s="8" t="s">
        <v>69</v>
      </c>
      <c r="B8" s="4" t="s">
        <v>38</v>
      </c>
      <c r="C8" s="11" t="n">
        <f aca="false">'Criteria&amp;Weights'!C8</f>
        <v>10</v>
      </c>
      <c r="D8" s="12" t="n">
        <v>2</v>
      </c>
      <c r="E8" s="12" t="n">
        <v>4</v>
      </c>
      <c r="F8" s="12" t="n">
        <v>5</v>
      </c>
      <c r="G8" s="12" t="n">
        <v>4</v>
      </c>
      <c r="H8" s="12" t="n">
        <v>3</v>
      </c>
      <c r="I8" s="12" t="n">
        <v>3</v>
      </c>
      <c r="J8" s="12" t="n">
        <v>1</v>
      </c>
    </row>
    <row r="9" customFormat="false" ht="30" hidden="false" customHeight="true" outlineLevel="0" collapsed="false">
      <c r="A9" s="8" t="s">
        <v>71</v>
      </c>
      <c r="B9" s="4" t="s">
        <v>40</v>
      </c>
      <c r="C9" s="11" t="n">
        <f aca="false">'Criteria&amp;Weights'!C9</f>
        <v>5</v>
      </c>
      <c r="D9" s="12" t="n">
        <v>5</v>
      </c>
      <c r="E9" s="12" t="n">
        <v>3</v>
      </c>
      <c r="F9" s="12" t="n">
        <v>2</v>
      </c>
      <c r="G9" s="12" t="n">
        <v>3</v>
      </c>
      <c r="H9" s="12" t="n">
        <v>4</v>
      </c>
      <c r="I9" s="12" t="n">
        <v>4</v>
      </c>
      <c r="J9" s="12" t="n">
        <v>2</v>
      </c>
    </row>
    <row r="10" customFormat="false" ht="30" hidden="false" customHeight="true" outlineLevel="0" collapsed="false">
      <c r="A10" s="8" t="s">
        <v>73</v>
      </c>
      <c r="B10" s="4" t="s">
        <v>43</v>
      </c>
      <c r="C10" s="11" t="n">
        <f aca="false">'Criteria&amp;Weights'!C10</f>
        <v>10</v>
      </c>
      <c r="D10" s="12" t="n">
        <v>1</v>
      </c>
      <c r="E10" s="12" t="n">
        <v>4</v>
      </c>
      <c r="F10" s="12" t="n">
        <v>4</v>
      </c>
      <c r="G10" s="12" t="n">
        <v>3</v>
      </c>
      <c r="H10" s="12" t="n">
        <v>2</v>
      </c>
      <c r="I10" s="12" t="n">
        <v>4</v>
      </c>
      <c r="J10" s="12" t="n">
        <v>5</v>
      </c>
    </row>
    <row r="11" customFormat="false" ht="30" hidden="false" customHeight="true" outlineLevel="0" collapsed="false">
      <c r="A11" s="8" t="s">
        <v>75</v>
      </c>
      <c r="B11" s="4" t="s">
        <v>45</v>
      </c>
      <c r="C11" s="11" t="n">
        <f aca="false">'Criteria&amp;Weights'!C11</f>
        <v>20</v>
      </c>
      <c r="D11" s="12" t="n">
        <v>4</v>
      </c>
      <c r="E11" s="12" t="n">
        <v>3</v>
      </c>
      <c r="F11" s="12" t="n">
        <v>1</v>
      </c>
      <c r="G11" s="12" t="n">
        <v>5</v>
      </c>
      <c r="H11" s="12" t="n">
        <v>5</v>
      </c>
      <c r="I11" s="12" t="n">
        <v>3</v>
      </c>
      <c r="J11" s="12" t="n">
        <v>3</v>
      </c>
    </row>
    <row r="12" customFormat="false" ht="39.55" hidden="false" customHeight="false" outlineLevel="0" collapsed="false">
      <c r="A12" s="2"/>
      <c r="B12" s="2" t="s">
        <v>87</v>
      </c>
      <c r="C12" s="2"/>
      <c r="D12" s="10" t="n">
        <f aca="false">SUMPRODUCT($C$3:$C$11,D3:D11)</f>
        <v>280</v>
      </c>
      <c r="E12" s="10" t="n">
        <f aca="false">SUMPRODUCT($C$3:$C$11,E3:E11)</f>
        <v>330</v>
      </c>
      <c r="F12" s="10" t="n">
        <f aca="false">SUMPRODUCT($C$3:$C$11,F3:F11)</f>
        <v>250</v>
      </c>
      <c r="G12" s="10" t="n">
        <f aca="false">SUMPRODUCT($C$3:$C$11,G3:G11)</f>
        <v>420</v>
      </c>
      <c r="H12" s="10" t="n">
        <f aca="false">SUMPRODUCT($C$3:$C$11,H3:H11)</f>
        <v>380</v>
      </c>
      <c r="I12" s="10" t="n">
        <f aca="false">SUMPRODUCT($C$3:$C$11,I3:I11)</f>
        <v>300</v>
      </c>
      <c r="J12" s="10" t="n">
        <f aca="false">SUMPRODUCT($C$3:$C$11,J3:J11)</f>
        <v>295</v>
      </c>
    </row>
    <row r="13" customFormat="false" ht="39.55" hidden="false" customHeight="false" outlineLevel="0" collapsed="false">
      <c r="A13" s="2"/>
      <c r="B13" s="2" t="s">
        <v>88</v>
      </c>
      <c r="C13" s="2"/>
      <c r="D13" s="13" t="n">
        <f aca="false">D12/500</f>
        <v>0.56</v>
      </c>
      <c r="E13" s="13" t="n">
        <f aca="false">E12/500</f>
        <v>0.66</v>
      </c>
      <c r="F13" s="13" t="n">
        <f aca="false">F12/500</f>
        <v>0.5</v>
      </c>
      <c r="G13" s="13" t="n">
        <f aca="false">G12/500</f>
        <v>0.84</v>
      </c>
      <c r="H13" s="13" t="n">
        <f aca="false">H12/500</f>
        <v>0.76</v>
      </c>
      <c r="I13" s="13" t="n">
        <f aca="false">I12/500</f>
        <v>0.6</v>
      </c>
      <c r="J13" s="13" t="n">
        <f aca="false">J12/500</f>
        <v>0.59</v>
      </c>
    </row>
  </sheetData>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3" min="3" style="0" width="16"/>
    <col collapsed="false" customWidth="true" hidden="false" outlineLevel="0" max="4" min="4" style="0" width="70"/>
  </cols>
  <sheetData>
    <row r="1" customFormat="false" ht="27.75" hidden="false" customHeight="true" outlineLevel="0" collapsed="false">
      <c r="A1" s="1" t="s">
        <v>89</v>
      </c>
      <c r="B1" s="1"/>
      <c r="C1" s="1"/>
      <c r="D1" s="1"/>
    </row>
    <row r="2" customFormat="false" ht="26.85" hidden="false" customHeight="false" outlineLevel="0" collapsed="false">
      <c r="A2" s="5" t="s">
        <v>90</v>
      </c>
      <c r="B2" s="5" t="s">
        <v>91</v>
      </c>
      <c r="C2" s="5" t="s">
        <v>92</v>
      </c>
      <c r="D2" s="5" t="s">
        <v>93</v>
      </c>
    </row>
    <row r="3" customFormat="false" ht="33.75" hidden="false" customHeight="true" outlineLevel="0" collapsed="false">
      <c r="A3" s="7" t="n">
        <f aca="false">RANK('Decision Matrix'!D12,'Decision Matrix'!$D$12:$J$12,0)</f>
        <v>6</v>
      </c>
      <c r="B3" s="6" t="s">
        <v>80</v>
      </c>
      <c r="C3" s="14" t="n">
        <f aca="false">'Decision Matrix'!D13</f>
        <v>0.56</v>
      </c>
      <c r="D3" s="3" t="s">
        <v>94</v>
      </c>
    </row>
    <row r="4" customFormat="false" ht="33.75" hidden="false" customHeight="true" outlineLevel="0" collapsed="false">
      <c r="A4" s="7" t="n">
        <f aca="false">RANK('Decision Matrix'!E12,'Decision Matrix'!$D$12:$J$12,0)</f>
        <v>3</v>
      </c>
      <c r="B4" s="6" t="s">
        <v>81</v>
      </c>
      <c r="C4" s="14" t="n">
        <f aca="false">'Decision Matrix'!E13</f>
        <v>0.66</v>
      </c>
      <c r="D4" s="3" t="s">
        <v>95</v>
      </c>
    </row>
    <row r="5" customFormat="false" ht="33.75" hidden="false" customHeight="true" outlineLevel="0" collapsed="false">
      <c r="A5" s="7" t="n">
        <f aca="false">RANK('Decision Matrix'!F12,'Decision Matrix'!$D$12:$J$12,0)</f>
        <v>7</v>
      </c>
      <c r="B5" s="6" t="s">
        <v>82</v>
      </c>
      <c r="C5" s="14" t="n">
        <f aca="false">'Decision Matrix'!F13</f>
        <v>0.5</v>
      </c>
      <c r="D5" s="3" t="s">
        <v>96</v>
      </c>
    </row>
    <row r="6" customFormat="false" ht="33.75" hidden="false" customHeight="true" outlineLevel="0" collapsed="false">
      <c r="A6" s="15" t="n">
        <f aca="false">RANK('Decision Matrix'!G12,'Decision Matrix'!$D$12:$J$12,0)</f>
        <v>1</v>
      </c>
      <c r="B6" s="16" t="s">
        <v>83</v>
      </c>
      <c r="C6" s="17" t="n">
        <f aca="false">'Decision Matrix'!G13</f>
        <v>0.84</v>
      </c>
      <c r="D6" s="18" t="s">
        <v>97</v>
      </c>
    </row>
    <row r="7" customFormat="false" ht="33.75" hidden="false" customHeight="true" outlineLevel="0" collapsed="false">
      <c r="A7" s="7" t="n">
        <f aca="false">RANK('Decision Matrix'!H12,'Decision Matrix'!$D$12:$J$12,0)</f>
        <v>2</v>
      </c>
      <c r="B7" s="6" t="s">
        <v>84</v>
      </c>
      <c r="C7" s="14" t="n">
        <f aca="false">'Decision Matrix'!H13</f>
        <v>0.76</v>
      </c>
      <c r="D7" s="3" t="s">
        <v>98</v>
      </c>
    </row>
    <row r="8" customFormat="false" ht="33.75" hidden="false" customHeight="true" outlineLevel="0" collapsed="false">
      <c r="A8" s="7" t="n">
        <f aca="false">RANK('Decision Matrix'!I12,'Decision Matrix'!$D$12:$J$12,0)</f>
        <v>4</v>
      </c>
      <c r="B8" s="6" t="s">
        <v>85</v>
      </c>
      <c r="C8" s="14" t="n">
        <f aca="false">'Decision Matrix'!I13</f>
        <v>0.6</v>
      </c>
      <c r="D8" s="3" t="s">
        <v>99</v>
      </c>
    </row>
    <row r="9" customFormat="false" ht="33.75" hidden="false" customHeight="true" outlineLevel="0" collapsed="false">
      <c r="A9" s="7" t="n">
        <f aca="false">RANK('Decision Matrix'!J12,'Decision Matrix'!$D$12:$J$12,0)</f>
        <v>5</v>
      </c>
      <c r="B9" s="6" t="s">
        <v>86</v>
      </c>
      <c r="C9" s="14" t="n">
        <f aca="false">'Decision Matrix'!J13</f>
        <v>0.59</v>
      </c>
      <c r="D9" s="3" t="s">
        <v>100</v>
      </c>
    </row>
    <row r="11" customFormat="false" ht="15.75" hidden="false" customHeight="true" outlineLevel="0" collapsed="false">
      <c r="A11" s="6" t="s">
        <v>101</v>
      </c>
      <c r="B11" s="6"/>
      <c r="C11" s="6"/>
      <c r="D11" s="6"/>
    </row>
    <row r="12" customFormat="false" ht="69.75" hidden="false" customHeight="true" outlineLevel="0" collapsed="false">
      <c r="A12" s="3" t="s">
        <v>102</v>
      </c>
      <c r="B12" s="3"/>
      <c r="C12" s="3"/>
      <c r="D12" s="3"/>
    </row>
  </sheetData>
  <mergeCells count="3">
    <mergeCell ref="A1:D1"/>
    <mergeCell ref="A11:D11"/>
    <mergeCell ref="A12:D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
    <col collapsed="false" customWidth="true" hidden="false" outlineLevel="0" max="3" min="3" style="0" width="10"/>
    <col collapsed="false" customWidth="true" hidden="false" outlineLevel="0" max="4" min="4" style="0" width="24"/>
    <col collapsed="false" customWidth="true" hidden="false" outlineLevel="0" max="5" min="5" style="0" width="12"/>
    <col collapsed="false" customWidth="true" hidden="false" outlineLevel="0" max="6" min="6" style="0" width="20"/>
    <col collapsed="false" customWidth="true" hidden="false" outlineLevel="0" max="7" min="7" style="0" width="30"/>
  </cols>
  <sheetData>
    <row r="1" customFormat="false" ht="27.75" hidden="false" customHeight="true" outlineLevel="0" collapsed="false">
      <c r="A1" s="1" t="s">
        <v>103</v>
      </c>
      <c r="B1" s="1"/>
      <c r="C1" s="1"/>
      <c r="D1" s="1"/>
      <c r="E1" s="1"/>
      <c r="F1" s="1"/>
      <c r="G1" s="1"/>
    </row>
    <row r="2" customFormat="false" ht="26.85" hidden="false" customHeight="false" outlineLevel="0" collapsed="false">
      <c r="A2" s="5" t="s">
        <v>104</v>
      </c>
      <c r="B2" s="5" t="s">
        <v>105</v>
      </c>
      <c r="C2" s="5" t="s">
        <v>106</v>
      </c>
      <c r="D2" s="5" t="s">
        <v>107</v>
      </c>
      <c r="E2" s="5" t="s">
        <v>108</v>
      </c>
      <c r="F2" s="5" t="s">
        <v>109</v>
      </c>
      <c r="G2" s="5" t="s">
        <v>110</v>
      </c>
    </row>
    <row r="3" customFormat="false" ht="30" hidden="false" customHeight="true" outlineLevel="0" collapsed="false">
      <c r="A3" s="6" t="s">
        <v>111</v>
      </c>
      <c r="B3" s="7" t="n">
        <v>20</v>
      </c>
      <c r="C3" s="12" t="n">
        <v>15</v>
      </c>
      <c r="D3" s="4" t="s">
        <v>112</v>
      </c>
      <c r="E3" s="12" t="n">
        <v>15</v>
      </c>
      <c r="F3" s="7" t="s">
        <v>113</v>
      </c>
      <c r="G3" s="7" t="s">
        <v>114</v>
      </c>
    </row>
    <row r="4" customFormat="false" ht="30" hidden="false" customHeight="true" outlineLevel="0" collapsed="false">
      <c r="A4" s="6" t="s">
        <v>115</v>
      </c>
      <c r="B4" s="7" t="n">
        <v>20</v>
      </c>
      <c r="C4" s="12" t="n">
        <v>15</v>
      </c>
      <c r="D4" s="4" t="s">
        <v>116</v>
      </c>
      <c r="E4" s="12" t="n">
        <v>15</v>
      </c>
      <c r="F4" s="7" t="s">
        <v>113</v>
      </c>
      <c r="G4" s="7" t="s">
        <v>117</v>
      </c>
    </row>
    <row r="5" customFormat="false" ht="30" hidden="false" customHeight="true" outlineLevel="0" collapsed="false">
      <c r="A5" s="6" t="s">
        <v>118</v>
      </c>
      <c r="B5" s="7" t="n">
        <v>15</v>
      </c>
      <c r="C5" s="12" t="n">
        <v>10</v>
      </c>
      <c r="D5" s="4" t="s">
        <v>119</v>
      </c>
      <c r="E5" s="12" t="n">
        <v>15</v>
      </c>
      <c r="F5" s="7" t="s">
        <v>113</v>
      </c>
      <c r="G5" s="7" t="s">
        <v>120</v>
      </c>
    </row>
    <row r="7" customFormat="false" ht="45.75" hidden="false" customHeight="true" outlineLevel="0" collapsed="false">
      <c r="A7" s="3" t="s">
        <v>121</v>
      </c>
      <c r="B7" s="3"/>
      <c r="C7" s="3"/>
      <c r="D7" s="3"/>
      <c r="E7" s="3"/>
      <c r="F7" s="3"/>
      <c r="G7" s="3"/>
    </row>
  </sheetData>
  <mergeCells count="2">
    <mergeCell ref="A1:G1"/>
    <mergeCell ref="A7:G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90"/>
  </cols>
  <sheetData>
    <row r="1" customFormat="false" ht="27.75" hidden="false" customHeight="true" outlineLevel="0" collapsed="false">
      <c r="A1" s="1" t="s">
        <v>122</v>
      </c>
      <c r="B1" s="1"/>
    </row>
    <row r="2" customFormat="false" ht="24" hidden="false" customHeight="true" outlineLevel="0" collapsed="false">
      <c r="A2" s="19" t="s">
        <v>123</v>
      </c>
      <c r="B2" s="3" t="s">
        <v>83</v>
      </c>
    </row>
    <row r="3" customFormat="false" ht="60" hidden="false" customHeight="true" outlineLevel="0" collapsed="false">
      <c r="A3" s="19" t="s">
        <v>124</v>
      </c>
      <c r="B3" s="3" t="s">
        <v>125</v>
      </c>
    </row>
    <row r="4" customFormat="false" ht="60" hidden="false" customHeight="true" outlineLevel="0" collapsed="false">
      <c r="A4" s="19" t="s">
        <v>126</v>
      </c>
      <c r="B4" s="3" t="s">
        <v>127</v>
      </c>
    </row>
    <row r="5" customFormat="false" ht="24" hidden="false" customHeight="true" outlineLevel="0" collapsed="false">
      <c r="A5" s="19" t="s">
        <v>128</v>
      </c>
      <c r="B5" s="3" t="s">
        <v>129</v>
      </c>
    </row>
    <row r="6" customFormat="false" ht="60" hidden="false" customHeight="true" outlineLevel="0" collapsed="false">
      <c r="A6" s="19" t="s">
        <v>130</v>
      </c>
      <c r="B6" s="3" t="s">
        <v>131</v>
      </c>
    </row>
    <row r="7" customFormat="false" ht="60" hidden="false" customHeight="true" outlineLevel="0" collapsed="false">
      <c r="A7" s="19" t="s">
        <v>132</v>
      </c>
      <c r="B7" s="3" t="s">
        <v>133</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2026-09-02T06:39:33Z</dcterms:created>
  <dc:creator>openpyxl</dc:creator>
  <dc:description/>
  <dc:language>en-US</dc:language>
  <cp:lastModifiedBy/>
  <dcterms:modified xsi:type="dcterms:W3CDTF">2026-09-02T06:39:33Z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